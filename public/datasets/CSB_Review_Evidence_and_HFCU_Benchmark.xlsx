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9f014ef2d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B Review Evidence" sheetId="1" r:id="Ra81160d99fac4c93"/>
    <x:sheet xmlns:r="http://schemas.openxmlformats.org/officeDocument/2006/relationships" name="Evidence Assessment" sheetId="2" r:id="R14b408b19153439d"/>
    <x:sheet xmlns:r="http://schemas.openxmlformats.org/officeDocument/2006/relationships" name="Counts and Frame" sheetId="3" r:id="Raef8c5e6f5a947e7"/>
    <x:sheet xmlns:r="http://schemas.openxmlformats.org/officeDocument/2006/relationships" name="Source Inventory" sheetId="4" r:id="R5d77d6477f114c32"/>
    <x:sheet xmlns:r="http://schemas.openxmlformats.org/officeDocument/2006/relationships" name="Methodology" sheetId="5" r:id="R32ae3b9a66eb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23647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45fad1a1448d2" /><Relationship Type="http://schemas.openxmlformats.org/officeDocument/2006/relationships/theme" Target="/xl/theme/theme1.xml" Id="R7d6a6fa71a2c4c33" /><Relationship Type="http://schemas.openxmlformats.org/officeDocument/2006/relationships/sharedStrings" Target="/xl/sharedStrings.xml" Id="R943cde4ab9c5414e" /><Relationship Type="http://schemas.openxmlformats.org/officeDocument/2006/relationships/worksheet" Target="/xl/worksheets/sheet1.xml" Id="Ra81160d99fac4c93" /><Relationship Type="http://schemas.openxmlformats.org/officeDocument/2006/relationships/worksheet" Target="/xl/worksheets/sheet2.xml" Id="R14b408b19153439d" /><Relationship Type="http://schemas.openxmlformats.org/officeDocument/2006/relationships/worksheet" Target="/xl/worksheets/sheet3.xml" Id="Raef8c5e6f5a947e7" /><Relationship Type="http://schemas.openxmlformats.org/officeDocument/2006/relationships/worksheet" Target="/xl/worksheets/sheet4.xml" Id="R5d77d6477f114c32" /><Relationship Type="http://schemas.openxmlformats.org/officeDocument/2006/relationships/worksheet" Target="/xl/worksheets/sheet5.xml" Id="R32ae3b9a66eb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30" hidden="0" customWidth="1"/>
    <x:col min="4" max="4" width="27" hidden="0" customWidth="1"/>
    <x:col min="5" max="5" width="20" hidden="0" customWidth="1"/>
    <x:col min="6" max="6" width="21" hidden="0" customWidth="1"/>
    <x:col min="7" max="7" width="14" hidden="0" customWidth="1"/>
    <x:col min="8" max="8" width="14" hidden="0" customWidth="1"/>
    <x:col min="9" max="9" width="55" hidden="0" customWidth="1"/>
    <x:col min="10" max="10" width="41" hidden="0" customWidth="1"/>
    <x:col min="11" max="11" width="36" hidden="0" customWidth="1"/>
    <x:col min="12" max="12" width="35" hidden="0" customWidth="1"/>
    <x:col min="13" max="13" width="18" hidden="0" customWidth="1"/>
    <x:col min="14" max="14" width="58" hidden="0" customWidth="1"/>
    <x:col min="15" max="15" width="55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32" customHeight="1">
      <x:c r="A1" s="5" t="str">
        <x:v>Review ID</x:v>
      </x:c>
      <x:c r="B1" s="5" t="str">
        <x:v>Evidence scope</x:v>
      </x:c>
      <x:c r="C1" s="5" t="str">
        <x:v>Branch / product</x:v>
      </x:c>
      <x:c r="D1" s="5" t="str">
        <x:v>Source</x:v>
      </x:c>
      <x:c r="E1" s="5" t="str">
        <x:v>Date (as displayed)</x:v>
      </x:c>
      <x:c r="F1" s="5" t="str">
        <x:v>Reviewer</x:v>
      </x:c>
      <x:c r="G1" s="5" t="str">
        <x:v>Observed stars</x:v>
      </x:c>
      <x:c r="H1" s="5" t="str">
        <x:v>Sentiment</x:v>
      </x:c>
      <x:c r="I1" s="5" t="str">
        <x:v>Factual review paraphrase</x:v>
      </x:c>
      <x:c r="J1" s="5" t="str">
        <x:v>Positive themes</x:v>
      </x:c>
      <x:c r="K1" s="5" t="str">
        <x:v>Negative themes</x:v>
      </x:c>
      <x:c r="L1" s="5" t="str">
        <x:v>Operations relevance</x:v>
      </x:c>
      <x:c r="M1" s="5" t="str">
        <x:v>Source confidence</x:v>
      </x:c>
      <x:c r="N1" s="5" t="str">
        <x:v>Source URL</x:v>
      </x:c>
      <x:c r="O1" s="5" t="str">
        <x:v>Provenance / limitations</x:v>
      </x:c>
      <x:c r="P1" s="19" t="str">
        <x:v>Personal attention</x:v>
      </x:c>
      <x:c r="Q1" s="19" t="str">
        <x:v>Resolution</x:v>
      </x:c>
      <x:c r="R1" s="19" t="str">
        <x:v>Follow-through</x:v>
      </x:c>
      <x:c r="S1" s="19" t="str">
        <x:v>Manager escalation</x:v>
      </x:c>
      <x:c r="T1" s="19" t="str">
        <x:v>Relationship trust</x:v>
      </x:c>
      <x:c r="U1" s="19" t="str">
        <x:v>Special request</x:v>
      </x:c>
      <x:c r="V1" s="19" t="str">
        <x:v>Communication</x:v>
      </x:c>
      <x:c r="W1" s="19" t="str">
        <x:v>Timely response</x:v>
      </x:c>
      <x:c r="X1" s="19" t="str">
        <x:v>Complex onboarding</x:v>
      </x:c>
      <x:c r="Y1" s="19" t="str">
        <x:v>Short wait</x:v>
      </x:c>
    </x:row>
    <x:row r="2" ht="58" customHeight="1">
      <x:c r="A2" s="12" t="str">
        <x:v>CSB-001</x:v>
      </x:c>
      <x:c r="B2" s="12" t="str">
        <x:v>Harvard Square listing; branch unconfirmed</x:v>
      </x:c>
      <x:c r="C2" s="12" t="str">
        <x:v>1374 Massachusetts Ave</x:v>
      </x:c>
      <x:c r="D2" s="12" t="str">
        <x:v>Loc8NearMe (syndicated)</x:v>
      </x:c>
      <x:c r="E2" s="12" t="str">
        <x:v>2023-03</x:v>
      </x:c>
      <x:c r="F2" s="12" t="str">
        <x:v>Not shown</x:v>
      </x:c>
      <x:c r="G2" s="12"/>
      <x:c r="H2" s="12" t="str">
        <x:v>Positive</x:v>
      </x:c>
      <x:c r="I2" s="10" t="str">
        <x:v>Long-term customer (&gt;30 years) praises friendly, personal, helpful attention.</x:v>
      </x:c>
      <x:c r="J2" s="10" t="str">
        <x:v>Personal attention;Relationship trust</x:v>
      </x:c>
      <x:c r="K2" s="10" t="str"/>
      <x:c r="L2" s="10" t="str">
        <x:v>Relationship service benchmark</x:v>
      </x:c>
      <x:c r="M2" s="10" t="str">
        <x:v>Medium</x:v>
      </x:c>
      <x:c r="N2" s="10" t="str">
        <x:v>https://www.loc8nearme.com/massachusetts/cambridge/cambridge-savings-bank/2588412/</x:v>
      </x:c>
      <x:c r="O2" s="10" t="str">
        <x:v>Listing identifies Harvard Square; review does not explicitly locate interaction.</x:v>
      </x:c>
      <x:c r="P2" t="n">
        <x:v>1</x:v>
      </x:c>
      <x:c r="Q2" t="n">
        <x:v>0</x:v>
      </x:c>
      <x:c r="R2" t="n">
        <x:v>0</x:v>
      </x:c>
      <x:c r="S2" t="n">
        <x:v>0</x:v>
      </x:c>
      <x:c r="T2" t="n">
        <x:v>1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</x:row>
    <x:row r="3" ht="58" customHeight="1">
      <x:c r="A3" s="12" t="str">
        <x:v>CSB-002</x:v>
      </x:c>
      <x:c r="B3" s="12" t="str">
        <x:v>HFCU-comparable institution-wide; call center</x:v>
      </x:c>
      <x:c r="C3" s="12" t="str">
        <x:v>Harvard Square listing; call center interaction</x:v>
      </x:c>
      <x:c r="D3" s="12" t="str">
        <x:v>Loc8NearMe (syndicated)</x:v>
      </x:c>
      <x:c r="E3" s="12" t="str">
        <x:v>2021-11</x:v>
      </x:c>
      <x:c r="F3" s="12" t="str">
        <x:v>Not shown</x:v>
      </x:c>
      <x:c r="G3" s="12"/>
      <x:c r="H3" s="12" t="str">
        <x:v>Positive</x:v>
      </x:c>
      <x:c r="I3" s="10" t="str">
        <x:v>Call-center director proactively contacted reviewer and helped solve a problem.</x:v>
      </x:c>
      <x:c r="J3" s="10" t="str">
        <x:v>Resolution;Follow-through;Manager escalation</x:v>
      </x:c>
      <x:c r="K3" s="10" t="str"/>
      <x:c r="L3" s="10" t="str">
        <x:v>Case ownership and service recovery</x:v>
      </x:c>
      <x:c r="M3" s="10" t="str">
        <x:v>Medium</x:v>
      </x:c>
      <x:c r="N3" s="10" t="str">
        <x:v>https://www.loc8nearme.com/massachusetts/cambridge/cambridge-savings-bank/2588412/</x:v>
      </x:c>
      <x:c r="O3" s="10" t="str">
        <x:v>Not evidence of Harvard Square branch employee behavior.</x:v>
      </x:c>
      <x:c r="P3" t="n">
        <x:v>0</x:v>
      </x:c>
      <x:c r="Q3" t="n">
        <x:v>1</x:v>
      </x:c>
      <x:c r="R3" t="n">
        <x:v>1</x:v>
      </x:c>
      <x:c r="S3" t="n">
        <x:v>1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</x:row>
    <x:row r="4" ht="58" customHeight="1">
      <x:c r="A4" s="12" t="str">
        <x:v>CSB-003</x:v>
      </x:c>
      <x:c r="B4" s="12" t="str">
        <x:v>Other branch explicit</x:v>
      </x:c>
      <x:c r="C4" s="12" t="str">
        <x:v>Melrose branch</x:v>
      </x:c>
      <x:c r="D4" s="12" t="str">
        <x:v>Loc8NearMe (syndicated)</x:v>
      </x:c>
      <x:c r="E4" s="12" t="str">
        <x:v>2021-04</x:v>
      </x:c>
      <x:c r="F4" s="12" t="str">
        <x:v>Not shown</x:v>
      </x:c>
      <x:c r="G4" s="12"/>
      <x:c r="H4" s="12" t="str">
        <x:v>Positive</x:v>
      </x:c>
      <x:c r="I4" s="10" t="str">
        <x:v>Reviewer praises Melrose employees as helpful, friendly, and patient.</x:v>
      </x:c>
      <x:c r="J4" s="10" t="str">
        <x:v>Personal attention</x:v>
      </x:c>
      <x:c r="K4" s="10" t="str"/>
      <x:c r="L4" s="10" t="str">
        <x:v>Cross-branch service culture context</x:v>
      </x:c>
      <x:c r="M4" s="10" t="str">
        <x:v>High</x:v>
      </x:c>
      <x:c r="N4" s="10" t="str">
        <x:v>https://www.loc8nearme.com/massachusetts/cambridge/cambridge-savings-bank/2588412/</x:v>
      </x:c>
      <x:c r="O4" s="10" t="str">
        <x:v>Explicitly Melrose branch; exclude Harvard Square-only results.</x:v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</x:row>
    <x:row r="5" ht="58" customHeight="1">
      <x:c r="A5" s="12" t="str">
        <x:v>CSB-004</x:v>
      </x:c>
      <x:c r="B5" s="12" t="str">
        <x:v>Harvard Square listing</x:v>
      </x:c>
      <x:c r="C5" s="12" t="str">
        <x:v>1374 Massachusetts Ave</x:v>
      </x:c>
      <x:c r="D5" s="12" t="str">
        <x:v>WeLoans (review mirror)</x:v>
      </x:c>
      <x:c r="E5" s="12" t="str">
        <x:v>Not displayed</x:v>
      </x:c>
      <x:c r="F5" s="12" t="str">
        <x:v>Alyssa S</x:v>
      </x:c>
      <x:c r="G5" s="12" t="n">
        <x:v>5</x:v>
      </x:c>
      <x:c r="H5" s="12" t="str">
        <x:v>Positive</x:v>
      </x:c>
      <x:c r="I5" s="10" t="str">
        <x:v>Reviewer describes staff as very nice and helpful.</x:v>
      </x:c>
      <x:c r="J5" s="10" t="str">
        <x:v>Personal attention</x:v>
      </x:c>
      <x:c r="K5" s="10" t="str"/>
      <x:c r="L5" s="10" t="str">
        <x:v>Staff interaction</x:v>
      </x:c>
      <x:c r="M5" s="10" t="str">
        <x:v>High</x:v>
      </x:c>
      <x:c r="N5" s="10" t="str">
        <x:v>https://weloans.com/store/cambridge-savings-bank-732338f7</x:v>
      </x:c>
      <x:c r="O5" s="10" t="str">
        <x:v>Only 3 of listed 6 reviews fully visible in public page.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</x:row>
    <x:row r="6" ht="58" customHeight="1">
      <x:c r="A6" s="12" t="str">
        <x:v>CSB-005</x:v>
      </x:c>
      <x:c r="B6" s="12" t="str">
        <x:v>Harvard Square listing</x:v>
      </x:c>
      <x:c r="C6" s="12" t="str">
        <x:v>1374 Massachusetts Ave</x:v>
      </x:c>
      <x:c r="D6" s="12" t="str">
        <x:v>WeLoans (review mirror)</x:v>
      </x:c>
      <x:c r="E6" s="12" t="str">
        <x:v>Not displayed</x:v>
      </x:c>
      <x:c r="F6" s="12" t="str">
        <x:v>M D</x:v>
      </x:c>
      <x:c r="G6" s="12" t="n">
        <x:v>1</x:v>
      </x:c>
      <x:c r="H6" s="12" t="str">
        <x:v>Negative</x:v>
      </x:c>
      <x:c r="I6" s="10" t="str">
        <x:v>Reviewer alleges hostile and discriminatory treatment of international students by tellers.</x:v>
      </x:c>
      <x:c r="J6" s="10" t="str"/>
      <x:c r="K6" s="10" t="str">
        <x:v>Staff treatment;Respectful onboarding</x:v>
      </x:c>
      <x:c r="L6" s="10" t="str">
        <x:v>Staff training and inclusive service</x:v>
      </x:c>
      <x:c r="M6" s="10" t="str">
        <x:v>High</x:v>
      </x:c>
      <x:c r="N6" s="10" t="str">
        <x:v>https://weloans.com/store/cambridge-savings-bank-732338f7</x:v>
      </x:c>
      <x:c r="O6" s="10" t="str">
        <x:v>Unverified individual allegation; avoid identifying specific employees.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</x:row>
    <x:row r="7" ht="58" customHeight="1">
      <x:c r="A7" s="12" t="str">
        <x:v>CSB-006</x:v>
      </x:c>
      <x:c r="B7" s="12" t="str">
        <x:v>Harvard Square listing</x:v>
      </x:c>
      <x:c r="C7" s="12" t="str">
        <x:v>1374 Massachusetts Ave</x:v>
      </x:c>
      <x:c r="D7" s="12" t="str">
        <x:v>WeLoans (review mirror)</x:v>
      </x:c>
      <x:c r="E7" s="12" t="str">
        <x:v>Not displayed</x:v>
      </x:c>
      <x:c r="F7" s="12" t="str">
        <x:v>中村則子</x:v>
      </x:c>
      <x:c r="G7" s="12" t="n">
        <x:v>5</x:v>
      </x:c>
      <x:c r="H7" s="12" t="str">
        <x:v>Positive</x:v>
      </x:c>
      <x:c r="I7" s="10" t="str">
        <x:v>Reviewer reports kind treatment during a tourist currency-exchange inquiry.</x:v>
      </x:c>
      <x:c r="J7" s="10" t="str">
        <x:v>Personal attention;Special request</x:v>
      </x:c>
      <x:c r="K7" s="10" t="str"/>
      <x:c r="L7" s="10" t="str">
        <x:v>Handling nonroutine visitor requests</x:v>
      </x:c>
      <x:c r="M7" s="10" t="str">
        <x:v>High</x:v>
      </x:c>
      <x:c r="N7" s="10" t="str">
        <x:v>https://weloans.com/store/cambridge-savings-bank-732338f7</x:v>
      </x:c>
      <x:c r="O7" s="10" t="str">
        <x:v>Translation paraphrase; review language Japanese.</x:v>
      </x:c>
      <x:c r="P7" t="n">
        <x:v>1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1</x:v>
      </x:c>
      <x:c r="V7" t="n">
        <x:v>0</x:v>
      </x:c>
      <x:c r="W7" t="n">
        <x:v>0</x:v>
      </x:c>
      <x:c r="X7" t="n">
        <x:v>0</x:v>
      </x:c>
      <x:c r="Y7" t="n">
        <x:v>0</x:v>
      </x:c>
    </x:row>
    <x:row r="8" ht="58" customHeight="1">
      <x:c r="A8" s="12" t="str">
        <x:v>CSB-007</x:v>
      </x:c>
      <x:c r="B8" s="12" t="str">
        <x:v>CSB-wide; branch unspecified</x:v>
      </x:c>
      <x:c r="C8" s="12" t="str">
        <x:v>Not identified</x:v>
      </x:c>
      <x:c r="D8" s="12" t="str">
        <x:v>BankGrader (review republisher)</x:v>
      </x:c>
      <x:c r="E8" s="12" t="str">
        <x:v>2024-03-09*</x:v>
      </x:c>
      <x:c r="F8" s="12" t="str">
        <x:v>Oldine</x:v>
      </x:c>
      <x:c r="G8" s="12"/>
      <x:c r="H8" s="12" t="str">
        <x:v>Neutral</x:v>
      </x:c>
      <x:c r="I8" s="10" t="str">
        <x:v>Reviewer says a bank manager clarified how CSB's mutual ownership works.</x:v>
      </x:c>
      <x:c r="J8" s="10" t="str">
        <x:v>Communication</x:v>
      </x:c>
      <x:c r="K8" s="10" t="str"/>
      <x:c r="L8" s="10" t="str">
        <x:v>Manager explanation of institutional policies</x:v>
      </x:c>
      <x:c r="M8" s="10" t="str">
        <x:v>Low</x:v>
      </x:c>
      <x:c r="N8" s="10" t="str">
        <x:v>https://www.bankgrader.com/cambridge-savings-bank/reviews</x:v>
      </x:c>
      <x:c r="O8" s="10" t="str">
        <x:v>Site displays common date for all 12 entries; original review dates and first-publisher are unverified.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1</x:v>
      </x:c>
      <x:c r="W8" t="n">
        <x:v>0</x:v>
      </x:c>
      <x:c r="X8" t="n">
        <x:v>0</x:v>
      </x:c>
      <x:c r="Y8" t="n">
        <x:v>0</x:v>
      </x:c>
    </x:row>
    <x:row r="9" ht="58" customHeight="1">
      <x:c r="A9" s="12" t="str">
        <x:v>CSB-008</x:v>
      </x:c>
      <x:c r="B9" s="12" t="str">
        <x:v>Multi-branch explicitly includes Harvard Square</x:v>
      </x:c>
      <x:c r="C9" s="12" t="str">
        <x:v>Harvard &amp; Porter</x:v>
      </x:c>
      <x:c r="D9" s="12" t="str">
        <x:v>BankGrader (review republisher)</x:v>
      </x:c>
      <x:c r="E9" s="12" t="str">
        <x:v>2024-03-09*</x:v>
      </x:c>
      <x:c r="F9" s="12" t="str">
        <x:v>Bremon</x:v>
      </x:c>
      <x:c r="G9" s="12"/>
      <x:c r="H9" s="12" t="str">
        <x:v>Positive</x:v>
      </x:c>
      <x:c r="I9" s="10" t="str">
        <x:v>Reviewer says Porter and Harvard staff fixed a debit-card PIN issue, with a confirmation call after hours.</x:v>
      </x:c>
      <x:c r="J9" s="10" t="str">
        <x:v>Resolution;Follow-through;Personal attention</x:v>
      </x:c>
      <x:c r="K9" s="10" t="str">
        <x:v>Initial access issue</x:v>
      </x:c>
      <x:c r="L9" s="10" t="str">
        <x:v>Cross-branch resolution and callback</x:v>
      </x:c>
      <x:c r="M9" s="10" t="str">
        <x:v>Medium</x:v>
      </x:c>
      <x:c r="N9" s="10" t="str">
        <x:v>https://www.bankgrader.com/cambridge-savings-bank/reviews</x:v>
      </x:c>
      <x:c r="O9" s="10" t="str">
        <x:v>Site displays common date for all 12 entries; original review dates and first-publisher are unverified.</x:v>
      </x:c>
      <x:c r="P9" t="n">
        <x:v>1</x:v>
      </x:c>
      <x:c r="Q9" t="n">
        <x:v>1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</x:row>
    <x:row r="10" ht="58" customHeight="1">
      <x:c r="A10" s="12" t="str">
        <x:v>CSB-009</x:v>
      </x:c>
      <x:c r="B10" s="12" t="str">
        <x:v>CSB-wide; branch unspecified</x:v>
      </x:c>
      <x:c r="C10" s="12" t="str">
        <x:v>Not identified</x:v>
      </x:c>
      <x:c r="D10" s="12" t="str">
        <x:v>BankGrader (review republisher)</x:v>
      </x:c>
      <x:c r="E10" s="12" t="str">
        <x:v>2024-03-09*</x:v>
      </x:c>
      <x:c r="F10" s="12" t="str">
        <x:v>Gary</x:v>
      </x:c>
      <x:c r="G10" s="12"/>
      <x:c r="H10" s="12" t="str">
        <x:v>Negative</x:v>
      </x:c>
      <x:c r="I10" s="10" t="str">
        <x:v>Reviewer reports days-long authentication failure, inability to access account, and unsuccessful support.</x:v>
      </x:c>
      <x:c r="J10" s="10" t="str"/>
      <x:c r="K10" s="10" t="str">
        <x:v>Digital reliability;Resolution failure</x:v>
      </x:c>
      <x:c r="L10" s="10" t="str">
        <x:v>Counterexample to consistent resolution</x:v>
      </x:c>
      <x:c r="M10" s="10" t="str">
        <x:v>Low</x:v>
      </x:c>
      <x:c r="N10" s="10" t="str">
        <x:v>https://www.bankgrader.com/cambridge-savings-bank/reviews</x:v>
      </x:c>
      <x:c r="O10" s="10" t="str">
        <x:v>Site displays common date for all 12 entries; original review dates and first-publisher are unverified.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</x:row>
    <x:row r="11" ht="58" customHeight="1">
      <x:c r="A11" s="12" t="str">
        <x:v>CSB-010</x:v>
      </x:c>
      <x:c r="B11" s="12" t="str">
        <x:v>CSB-wide; branch unspecified</x:v>
      </x:c>
      <x:c r="C11" s="12" t="str">
        <x:v>Not identified</x:v>
      </x:c>
      <x:c r="D11" s="12" t="str">
        <x:v>BankGrader (review republisher)</x:v>
      </x:c>
      <x:c r="E11" s="12" t="str">
        <x:v>2024-03-09*</x:v>
      </x:c>
      <x:c r="F11" s="12" t="str">
        <x:v>Marlon</x:v>
      </x:c>
      <x:c r="G11" s="12"/>
      <x:c r="H11" s="12" t="str">
        <x:v>Mixed</x:v>
      </x:c>
      <x:c r="I11" s="10" t="str">
        <x:v>Reviewer says disputed fraud-related funds were returned and praises branch staff.</x:v>
      </x:c>
      <x:c r="J11" s="10" t="str">
        <x:v>Resolution</x:v>
      </x:c>
      <x:c r="K11" s="10" t="str">
        <x:v>Fraud incident</x:v>
      </x:c>
      <x:c r="L11" s="10" t="str">
        <x:v>Service recovery, location unspecified</x:v>
      </x:c>
      <x:c r="M11" s="10" t="str">
        <x:v>Low</x:v>
      </x:c>
      <x:c r="N11" s="10" t="str">
        <x:v>https://www.bankgrader.com/cambridge-savings-bank/reviews</x:v>
      </x:c>
      <x:c r="O11" s="10" t="str">
        <x:v>Site displays common date for all 12 entries; original review dates and first-publisher are unverified.</x:v>
      </x:c>
      <x:c r="P11" t="n">
        <x:v>0</x:v>
      </x:c>
      <x:c r="Q11" t="n">
        <x:v>1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</x:row>
    <x:row r="12" ht="58" customHeight="1">
      <x:c r="A12" s="12" t="str">
        <x:v>CSB-011</x:v>
      </x:c>
      <x:c r="B12" s="12" t="str">
        <x:v>CSB-wide; branch unspecified</x:v>
      </x:c>
      <x:c r="C12" s="12" t="str">
        <x:v>Not identified</x:v>
      </x:c>
      <x:c r="D12" s="12" t="str">
        <x:v>BankGrader (review republisher)</x:v>
      </x:c>
      <x:c r="E12" s="12" t="str">
        <x:v>2024-03-09*</x:v>
      </x:c>
      <x:c r="F12" s="12" t="str">
        <x:v>Layla</x:v>
      </x:c>
      <x:c r="G12" s="12"/>
      <x:c r="H12" s="12" t="str">
        <x:v>Positive</x:v>
      </x:c>
      <x:c r="I12" s="10" t="str">
        <x:v>Former teller praises continued use of branch and convenience of coin counting.</x:v>
      </x:c>
      <x:c r="J12" s="10" t="str">
        <x:v>Convenience;Relationship trust</x:v>
      </x:c>
      <x:c r="K12" s="10" t="str"/>
      <x:c r="L12" s="10" t="str">
        <x:v>Self-service amenity, location unspecified</x:v>
      </x:c>
      <x:c r="M12" s="10" t="str">
        <x:v>Low</x:v>
      </x:c>
      <x:c r="N12" s="10" t="str">
        <x:v>https://www.bankgrader.com/cambridge-savings-bank/reviews</x:v>
      </x:c>
      <x:c r="O12" s="10" t="str">
        <x:v>Site displays common date for all 12 entries; original review dates and first-publisher are unverified.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</x:row>
    <x:row r="13" ht="58" customHeight="1">
      <x:c r="A13" s="12" t="str">
        <x:v>CSB-012</x:v>
      </x:c>
      <x:c r="B13" s="12" t="str">
        <x:v>CSB-wide; branch unspecified</x:v>
      </x:c>
      <x:c r="C13" s="12" t="str">
        <x:v>Not identified</x:v>
      </x:c>
      <x:c r="D13" s="12" t="str">
        <x:v>BankGrader (review republisher)</x:v>
      </x:c>
      <x:c r="E13" s="12" t="str">
        <x:v>2024-03-09*</x:v>
      </x:c>
      <x:c r="F13" s="12" t="str">
        <x:v>Krema</x:v>
      </x:c>
      <x:c r="G13" s="12"/>
      <x:c r="H13" s="12" t="str">
        <x:v>Positive</x:v>
      </x:c>
      <x:c r="I13" s="10" t="str">
        <x:v>Nonmember praises polite teller interaction, greeting and lack of waiting for quarter exchange.</x:v>
      </x:c>
      <x:c r="J13" s="10" t="str">
        <x:v>Personal attention;Short wait</x:v>
      </x:c>
      <x:c r="K13" s="10" t="str"/>
      <x:c r="L13" s="10" t="str">
        <x:v>Routine teller experience, location unspecified</x:v>
      </x:c>
      <x:c r="M13" s="10" t="str">
        <x:v>Low</x:v>
      </x:c>
      <x:c r="N13" s="10" t="str">
        <x:v>https://www.bankgrader.com/cambridge-savings-bank/reviews</x:v>
      </x:c>
      <x:c r="O13" s="10" t="str">
        <x:v>Site displays common date for all 12 entries; original review dates and first-publisher are unverified.</x:v>
      </x:c>
      <x:c r="P13" t="n">
        <x:v>1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1</x:v>
      </x:c>
    </x:row>
    <x:row r="14" ht="58" customHeight="1">
      <x:c r="A14" s="12" t="str">
        <x:v>CSB-013</x:v>
      </x:c>
      <x:c r="B14" s="12" t="str">
        <x:v>CSB-wide; branch unspecified</x:v>
      </x:c>
      <x:c r="C14" s="12" t="str">
        <x:v>Not identified</x:v>
      </x:c>
      <x:c r="D14" s="12" t="str">
        <x:v>BankGrader (review republisher)</x:v>
      </x:c>
      <x:c r="E14" s="12" t="str">
        <x:v>2024-03-09*</x:v>
      </x:c>
      <x:c r="F14" s="12" t="str">
        <x:v>Forest</x:v>
      </x:c>
      <x:c r="G14" s="12"/>
      <x:c r="H14" s="12" t="str">
        <x:v>Positive</x:v>
      </x:c>
      <x:c r="I14" s="10" t="str">
        <x:v>Reviewer describes detailed, patient opening of six accounts and helpful answers on follow-up calls.</x:v>
      </x:c>
      <x:c r="J14" s="10" t="str">
        <x:v>Personal attention;Complex onboarding;Communication</x:v>
      </x:c>
      <x:c r="K14" s="10" t="str"/>
      <x:c r="L14" s="10" t="str">
        <x:v>Officer consultations, location unspecified</x:v>
      </x:c>
      <x:c r="M14" s="10" t="str">
        <x:v>Low</x:v>
      </x:c>
      <x:c r="N14" s="10" t="str">
        <x:v>https://www.bankgrader.com/cambridge-savings-bank/reviews</x:v>
      </x:c>
      <x:c r="O14" s="10" t="str">
        <x:v>Site displays common date for all 12 entries; original review dates and first-publisher are unverified.</x:v>
      </x:c>
      <x:c r="P14" t="n">
        <x:v>1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1</x:v>
      </x:c>
      <x:c r="W14" t="n">
        <x:v>0</x:v>
      </x:c>
      <x:c r="X14" t="n">
        <x:v>1</x:v>
      </x:c>
      <x:c r="Y14" t="n">
        <x:v>0</x:v>
      </x:c>
    </x:row>
    <x:row r="15" ht="58" customHeight="1">
      <x:c r="A15" s="12" t="str">
        <x:v>CSB-014</x:v>
      </x:c>
      <x:c r="B15" s="12" t="str">
        <x:v>CSB-wide; branch unspecified</x:v>
      </x:c>
      <x:c r="C15" s="12" t="str">
        <x:v>Not identified</x:v>
      </x:c>
      <x:c r="D15" s="12" t="str">
        <x:v>BankGrader (review republisher)</x:v>
      </x:c>
      <x:c r="E15" s="12" t="str">
        <x:v>2024-03-09*</x:v>
      </x:c>
      <x:c r="F15" s="12" t="str">
        <x:v>Dremon</x:v>
      </x:c>
      <x:c r="G15" s="12"/>
      <x:c r="H15" s="12" t="str">
        <x:v>Positive</x:v>
      </x:c>
      <x:c r="I15" s="10" t="str">
        <x:v>Reviewer describes CSB support handling several unusual requests without difficulty.</x:v>
      </x:c>
      <x:c r="J15" s="10" t="str">
        <x:v>Special request;Resolution;Personal attention</x:v>
      </x:c>
      <x:c r="K15" s="10" t="str"/>
      <x:c r="L15" s="10" t="str">
        <x:v>Exceptions benchmark, location unspecified</x:v>
      </x:c>
      <x:c r="M15" s="10" t="str">
        <x:v>Low</x:v>
      </x:c>
      <x:c r="N15" s="10" t="str">
        <x:v>https://www.bankgrader.com/cambridge-savings-bank/reviews</x:v>
      </x:c>
      <x:c r="O15" s="10" t="str">
        <x:v>Site displays common date for all 12 entries; original review dates and first-publisher are unverified.</x:v>
      </x:c>
      <x:c r="P15" t="n">
        <x:v>1</x:v>
      </x:c>
      <x:c r="Q15" t="n">
        <x:v>1</x:v>
      </x:c>
      <x:c r="R15" t="n">
        <x:v>0</x:v>
      </x:c>
      <x:c r="S15" t="n">
        <x:v>0</x:v>
      </x:c>
      <x:c r="T15" t="n">
        <x:v>0</x:v>
      </x:c>
      <x:c r="U15" t="n">
        <x:v>1</x:v>
      </x:c>
      <x:c r="V15" t="n">
        <x:v>0</x:v>
      </x:c>
      <x:c r="W15" t="n">
        <x:v>0</x:v>
      </x:c>
      <x:c r="X15" t="n">
        <x:v>0</x:v>
      </x:c>
      <x:c r="Y15" t="n">
        <x:v>0</x:v>
      </x:c>
    </x:row>
    <x:row r="16" ht="58" customHeight="1">
      <x:c r="A16" s="12" t="str">
        <x:v>CSB-015</x:v>
      </x:c>
      <x:c r="B16" s="12" t="str">
        <x:v>CSB-wide; branch unspecified</x:v>
      </x:c>
      <x:c r="C16" s="12" t="str">
        <x:v>Not identified</x:v>
      </x:c>
      <x:c r="D16" s="12" t="str">
        <x:v>BankGrader (review republisher)</x:v>
      </x:c>
      <x:c r="E16" s="12" t="str">
        <x:v>2024-03-09*</x:v>
      </x:c>
      <x:c r="F16" s="12" t="str">
        <x:v>Seldom</x:v>
      </x:c>
      <x:c r="G16" s="12"/>
      <x:c r="H16" s="12" t="str">
        <x:v>Positive</x:v>
      </x:c>
      <x:c r="I16" s="10" t="str">
        <x:v>Reviewer says bank supplied an employer-required direct-deposit letter by email that day.</x:v>
      </x:c>
      <x:c r="J16" s="10" t="str">
        <x:v>Resolution;Timely response;Special request</x:v>
      </x:c>
      <x:c r="K16" s="10" t="str"/>
      <x:c r="L16" s="10" t="str">
        <x:v>Document turnaround, location unspecified</x:v>
      </x:c>
      <x:c r="M16" s="10" t="str">
        <x:v>Low</x:v>
      </x:c>
      <x:c r="N16" s="10" t="str">
        <x:v>https://www.bankgrader.com/cambridge-savings-bank/reviews</x:v>
      </x:c>
      <x:c r="O16" s="10" t="str">
        <x:v>Site displays common date for all 12 entries; original review dates and first-publisher are unverified.</x:v>
      </x:c>
      <x:c r="P16" t="n">
        <x:v>0</x:v>
      </x:c>
      <x:c r="Q16" t="n">
        <x:v>1</x:v>
      </x:c>
      <x:c r="R16" t="n">
        <x:v>0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1</x:v>
      </x:c>
      <x:c r="X16" t="n">
        <x:v>0</x:v>
      </x:c>
      <x:c r="Y16" t="n">
        <x:v>0</x:v>
      </x:c>
    </x:row>
    <x:row r="17" ht="58" customHeight="1">
      <x:c r="A17" s="12" t="str">
        <x:v>CSB-016</x:v>
      </x:c>
      <x:c r="B17" s="12" t="str">
        <x:v>CSB-wide; branch unspecified</x:v>
      </x:c>
      <x:c r="C17" s="12" t="str">
        <x:v>Not identified</x:v>
      </x:c>
      <x:c r="D17" s="12" t="str">
        <x:v>BankGrader (review republisher)</x:v>
      </x:c>
      <x:c r="E17" s="12" t="str">
        <x:v>2024-03-09*</x:v>
      </x:c>
      <x:c r="F17" s="12" t="str">
        <x:v>Perony</x:v>
      </x:c>
      <x:c r="G17" s="12"/>
      <x:c r="H17" s="12" t="str">
        <x:v>Positive</x:v>
      </x:c>
      <x:c r="I17" s="10" t="str">
        <x:v>Long-term customer praises accurate, polite, name-based service.</x:v>
      </x:c>
      <x:c r="J17" s="10" t="str">
        <x:v>Personal attention;Relationship trust</x:v>
      </x:c>
      <x:c r="K17" s="10" t="str"/>
      <x:c r="L17" s="10" t="str">
        <x:v>Relationship service, location unspecified</x:v>
      </x:c>
      <x:c r="M17" s="10" t="str">
        <x:v>Low</x:v>
      </x:c>
      <x:c r="N17" s="10" t="str">
        <x:v>https://www.bankgrader.com/cambridge-savings-bank/reviews</x:v>
      </x:c>
      <x:c r="O17" s="10" t="str">
        <x:v>Site displays common date for all 12 entries; original review dates and first-publisher are unverified.</x:v>
      </x:c>
      <x:c r="P17" t="n">
        <x:v>1</x:v>
      </x:c>
      <x:c r="Q17" t="n">
        <x:v>0</x:v>
      </x:c>
      <x:c r="R17" t="n">
        <x:v>0</x:v>
      </x:c>
      <x:c r="S17" t="n">
        <x:v>0</x:v>
      </x:c>
      <x:c r="T17" t="n">
        <x:v>1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</x:row>
    <x:row r="18" ht="58" customHeight="1">
      <x:c r="A18" s="12" t="str">
        <x:v>CSB-017</x:v>
      </x:c>
      <x:c r="B18" s="12" t="str">
        <x:v>CSB-wide; branch unspecified</x:v>
      </x:c>
      <x:c r="C18" s="12" t="str">
        <x:v>Not identified</x:v>
      </x:c>
      <x:c r="D18" s="12" t="str">
        <x:v>BankGrader (review republisher)</x:v>
      </x:c>
      <x:c r="E18" s="12" t="str">
        <x:v>2024-03-09*</x:v>
      </x:c>
      <x:c r="F18" s="12" t="str">
        <x:v>Irma</x:v>
      </x:c>
      <x:c r="G18" s="12"/>
      <x:c r="H18" s="12" t="str">
        <x:v>Mixed</x:v>
      </x:c>
      <x:c r="I18" s="10" t="str">
        <x:v>Reviewer reports a Saturday wait followed by personalized business account setup and a handwritten note.</x:v>
      </x:c>
      <x:c r="J18" s="10" t="str">
        <x:v>Personal attention;Complex onboarding;Follow-through</x:v>
      </x:c>
      <x:c r="K18" s="10" t="str">
        <x:v>Wait</x:v>
      </x:c>
      <x:c r="L18" s="10" t="str">
        <x:v>Service-quality versus wait-time tradeoff</x:v>
      </x:c>
      <x:c r="M18" s="10" t="str">
        <x:v>Low</x:v>
      </x:c>
      <x:c r="N18" s="10" t="str">
        <x:v>https://www.bankgrader.com/cambridge-savings-bank/reviews</x:v>
      </x:c>
      <x:c r="O18" s="10" t="str">
        <x:v>Site displays common date for all 12 entries; original review dates and first-publisher are unverified.</x:v>
      </x:c>
      <x:c r="P18" t="n">
        <x:v>1</x:v>
      </x:c>
      <x:c r="Q18" t="n">
        <x:v>0</x:v>
      </x:c>
      <x:c r="R18" t="n">
        <x:v>1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1</x:v>
      </x:c>
      <x:c r="Y18" t="n">
        <x:v>0</x:v>
      </x:c>
    </x:row>
    <x:row r="19" ht="58" customHeight="1">
      <x:c r="A19" s="12" t="str">
        <x:v>CSB-018</x:v>
      </x:c>
      <x:c r="B19" s="12" t="str">
        <x:v>CSB-wide; branch unspecified</x:v>
      </x:c>
      <x:c r="C19" s="12" t="str">
        <x:v>Not identified</x:v>
      </x:c>
      <x:c r="D19" s="12" t="str">
        <x:v>BankGrader (review republisher)</x:v>
      </x:c>
      <x:c r="E19" s="12" t="str">
        <x:v>2024-03-09*</x:v>
      </x:c>
      <x:c r="F19" s="12" t="str">
        <x:v>Ucrane</x:v>
      </x:c>
      <x:c r="G19" s="12"/>
      <x:c r="H19" s="12" t="str">
        <x:v>Positive</x:v>
      </x:c>
      <x:c r="I19" s="10" t="str">
        <x:v>New customers report immediate issuance of ATM cards at branch and a follow-up thank-you note.</x:v>
      </x:c>
      <x:c r="J19" s="10" t="str">
        <x:v>Timely response;Follow-through;Personal attention</x:v>
      </x:c>
      <x:c r="K19" s="10" t="str"/>
      <x:c r="L19" s="10" t="str">
        <x:v>Immediate exception handling, location unspecified</x:v>
      </x:c>
      <x:c r="M19" s="10" t="str">
        <x:v>Low</x:v>
      </x:c>
      <x:c r="N19" s="10" t="str">
        <x:v>https://www.bankgrader.com/cambridge-savings-bank/reviews</x:v>
      </x:c>
      <x:c r="O19" s="10" t="str">
        <x:v>Site displays common date for all 12 entries; original review dates and first-publisher are unverified.</x:v>
      </x:c>
      <x:c r="P19" t="n">
        <x:v>1</x:v>
      </x:c>
      <x:c r="Q19" t="n">
        <x:v>0</x:v>
      </x:c>
      <x:c r="R19" t="n">
        <x:v>1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1</x:v>
      </x:c>
      <x:c r="X19" t="n">
        <x:v>0</x:v>
      </x:c>
      <x:c r="Y19" t="n">
        <x:v>0</x:v>
      </x:c>
    </x:row>
    <x:row r="20" ht="58" customHeight="1">
      <x:c r="A20" s="12" t="str">
        <x:v>CSB-019</x:v>
      </x:c>
      <x:c r="B20" s="12" t="str">
        <x:v>CSB-wide; branch unspecified</x:v>
      </x:c>
      <x:c r="C20" s="12" t="str">
        <x:v>Not identified</x:v>
      </x:c>
      <x:c r="D20" s="12" t="str">
        <x:v>WalletHub (direct reviewer)</x:v>
      </x:c>
      <x:c r="E20" s="12" t="str">
        <x:v>2012-11-30</x:v>
      </x:c>
      <x:c r="F20" s="12" t="str">
        <x:v>Deidre Wilson</x:v>
      </x:c>
      <x:c r="G20" s="12" t="n">
        <x:v>5</x:v>
      </x:c>
      <x:c r="H20" s="12" t="str">
        <x:v>Positive</x:v>
      </x:c>
      <x:c r="I20" s="10" t="str">
        <x:v>Long-term customer reports adapting accounts to changing needs and promptly resolving occasional problems.</x:v>
      </x:c>
      <x:c r="J20" s="10" t="str">
        <x:v>Personal attention;Resolution;Relationship trust</x:v>
      </x:c>
      <x:c r="K20" s="10" t="str"/>
      <x:c r="L20" s="10" t="str">
        <x:v>Tailored service and resolution</x:v>
      </x:c>
      <x:c r="M20" s="10" t="str">
        <x:v>High</x:v>
      </x:c>
      <x:c r="N20" s="10" t="str">
        <x:v>https://wallethub.com/profile/cambridge-savings-bank-13001051i</x:v>
      </x:c>
      <x:c r="O20" s="10" t="str">
        <x:v>Institution-wide product review; not Harvard Square-specific.</x:v>
      </x:c>
      <x:c r="P20" t="n">
        <x:v>1</x:v>
      </x:c>
      <x:c r="Q20" t="n">
        <x:v>1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</x:row>
    <x:row r="21" ht="58" customHeight="1">
      <x:c r="A21" s="12" t="str">
        <x:v>CSB-020</x:v>
      </x:c>
      <x:c r="B21" s="12" t="str">
        <x:v>Other branch explicit</x:v>
      </x:c>
      <x:c r="C21" s="12" t="str">
        <x:v>1378 Cambridge St (Inman)</x:v>
      </x:c>
      <x:c r="D21" s="12" t="str">
        <x:v>Birdeye (Google syndicated)</x:v>
      </x:c>
      <x:c r="E21" s="12" t="str">
        <x:v>2026 (relative date shown)</x:v>
      </x:c>
      <x:c r="F21" s="12" t="str">
        <x:v>Mikey Fwesh</x:v>
      </x:c>
      <x:c r="G21" s="12"/>
      <x:c r="H21" s="12" t="str">
        <x:v>Positive</x:v>
      </x:c>
      <x:c r="I21" s="10" t="str">
        <x:v>Employees and manager coordinated to resolve a difficult account-opening situation.</x:v>
      </x:c>
      <x:c r="J21" s="10" t="str">
        <x:v>Resolution;Manager escalation;Complex onboarding;Personal attention</x:v>
      </x:c>
      <x:c r="K21" s="10" t="str"/>
      <x:c r="L21" s="10" t="str">
        <x:v>Illustrative escalation process</x:v>
      </x:c>
      <x:c r="M21" s="10" t="str">
        <x:v>High</x:v>
      </x:c>
      <x:c r="N21" s="10" t="str">
        <x:v>https://reviews.birdeye.com/cambridge-savings-bank-157289966393158</x:v>
      </x:c>
      <x:c r="O21" s="10" t="str">
        <x:v>Inman Square, NOT Harvard Square.</x:v>
      </x:c>
      <x:c r="P21" t="n">
        <x:v>1</x:v>
      </x:c>
      <x:c r="Q21" t="n">
        <x:v>1</x:v>
      </x:c>
      <x:c r="R21" t="n">
        <x:v>0</x:v>
      </x:c>
      <x:c r="S21" t="n">
        <x:v>1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1</x:v>
      </x:c>
      <x:c r="Y21" t="n">
        <x:v>0</x:v>
      </x:c>
    </x:row>
    <x:row r="22" ht="58" customHeight="1">
      <x:c r="A22" s="12" t="str">
        <x:v>CSB-021</x:v>
      </x:c>
      <x:c r="B22" s="12" t="str">
        <x:v>Other branch explicit</x:v>
      </x:c>
      <x:c r="C22" s="12" t="str">
        <x:v>630 Massachusetts Ave (Central Square)</x:v>
      </x:c>
      <x:c r="D22" s="12" t="str">
        <x:v>Loc8NearMe (syndicated)</x:v>
      </x:c>
      <x:c r="E22" s="12" t="str">
        <x:v>2023-11</x:v>
      </x:c>
      <x:c r="F22" s="12" t="str">
        <x:v>Not shown</x:v>
      </x:c>
      <x:c r="G22" s="12"/>
      <x:c r="H22" s="12" t="str">
        <x:v>Positive</x:v>
      </x:c>
      <x:c r="I22" s="10" t="str">
        <x:v>A banker and manager provided detailed answers to a specific account question.</x:v>
      </x:c>
      <x:c r="J22" s="10" t="str">
        <x:v>Communication;Manager escalation;Personal attention</x:v>
      </x:c>
      <x:c r="K22" s="10" t="str"/>
      <x:c r="L22" s="10" t="str">
        <x:v>Manager-assisted information service</x:v>
      </x:c>
      <x:c r="M22" s="10" t="str">
        <x:v>High</x:v>
      </x:c>
      <x:c r="N22" s="10" t="str">
        <x:v>https://www.loc8nearme.com/massachusetts/cambridge/cambridge-savings-bank/2588416/</x:v>
      </x:c>
      <x:c r="O22" s="10" t="str">
        <x:v>Central Square, NOT Harvard Square.</x:v>
      </x:c>
      <x:c r="P22" t="n">
        <x:v>1</x:v>
      </x:c>
      <x:c r="Q22" t="n">
        <x:v>0</x:v>
      </x:c>
      <x:c r="R22" t="n">
        <x:v>0</x:v>
      </x:c>
      <x:c r="S22" t="n">
        <x:v>1</x:v>
      </x:c>
      <x:c r="T22" t="n">
        <x:v>0</x:v>
      </x:c>
      <x:c r="U22" t="n">
        <x:v>0</x:v>
      </x:c>
      <x:c r="V22" t="n">
        <x:v>1</x:v>
      </x:c>
      <x:c r="W22" t="n">
        <x:v>0</x:v>
      </x:c>
      <x:c r="X22" t="n">
        <x:v>0</x:v>
      </x:c>
      <x:c r="Y22" t="n">
        <x:v>0</x:v>
      </x:c>
    </x:row>
    <x:row r="23" ht="58" customHeight="1">
      <x:c r="A23" s="12" t="str">
        <x:v>CSB-022</x:v>
      </x:c>
      <x:c r="B23" s="12" t="str">
        <x:v>Other branch explicit</x:v>
      </x:c>
      <x:c r="C23" s="12" t="str">
        <x:v>630 Massachusetts Ave (Central Square)</x:v>
      </x:c>
      <x:c r="D23" s="12" t="str">
        <x:v>Loc8NearMe (syndicated)</x:v>
      </x:c>
      <x:c r="E23" s="12" t="str">
        <x:v>2024-03</x:v>
      </x:c>
      <x:c r="F23" s="12" t="str">
        <x:v>Not shown</x:v>
      </x:c>
      <x:c r="G23" s="12"/>
      <x:c r="H23" s="12" t="str">
        <x:v>Positive</x:v>
      </x:c>
      <x:c r="I23" s="10" t="str">
        <x:v>Branch team described as consistently listening to and addressing concerns.</x:v>
      </x:c>
      <x:c r="J23" s="10" t="str">
        <x:v>Personal attention;Resolution</x:v>
      </x:c>
      <x:c r="K23" s="10" t="str"/>
      <x:c r="L23" s="10" t="str">
        <x:v>Issue listening and response</x:v>
      </x:c>
      <x:c r="M23" s="10" t="str">
        <x:v>Medium</x:v>
      </x:c>
      <x:c r="N23" s="10" t="str">
        <x:v>https://www.loc8nearme.com/massachusetts/cambridge/cambridge-savings-bank/2588416/</x:v>
      </x:c>
      <x:c r="O23" s="10" t="str">
        <x:v>Central Square, NOT Harvard Square; similar text may repeat on this page.</x:v>
      </x:c>
      <x:c r="P23" t="n">
        <x:v>1</x:v>
      </x:c>
      <x:c r="Q23" t="n">
        <x:v>1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</x:row>
    <x:row r="24" ht="58" customHeight="1">
      <x:c r="A24" s="12" t="str">
        <x:v>CSB-023</x:v>
      </x:c>
      <x:c r="B24" s="12" t="str">
        <x:v>Digital channel; CSB-wide</x:v>
      </x:c>
      <x:c r="C24" s="12" t="str">
        <x:v>Consumer mobile app</x:v>
      </x:c>
      <x:c r="D24" s="12" t="str">
        <x:v>Google Play</x:v>
      </x:c>
      <x:c r="E24" s="12" t="str">
        <x:v>2026-02-26</x:v>
      </x:c>
      <x:c r="F24" s="12" t="str">
        <x:v>Tessa</x:v>
      </x:c>
      <x:c r="G24" s="12"/>
      <x:c r="H24" s="12" t="str">
        <x:v>Negative</x:v>
      </x:c>
      <x:c r="I24" s="10" t="str">
        <x:v>Mobile check deposit rejected endorsement; support option failed to connect user with assistance.</x:v>
      </x:c>
      <x:c r="J24" s="10" t="str"/>
      <x:c r="K24" s="10" t="str">
        <x:v>Digital reliability;Resolution failure;Deposit</x:v>
      </x:c>
      <x:c r="L24" s="10" t="str">
        <x:v>Digital-to-human escalation failure</x:v>
      </x:c>
      <x:c r="M24" s="10" t="str">
        <x:v>High</x:v>
      </x:c>
      <x:c r="N24" s="10" t="str">
        <x:v>https://play.google.com/store/apps/details?id=com.cambridgesavingsbank4902.production</x:v>
      </x:c>
      <x:c r="O24" s="10" t="str">
        <x:v>App product; not Harvard Square-specific.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</x:row>
    <x:row r="25" ht="58" customHeight="1">
      <x:c r="A25" s="12" t="str">
        <x:v>CSB-024</x:v>
      </x:c>
      <x:c r="B25" s="12" t="str">
        <x:v>Digital channel; CSB-wide</x:v>
      </x:c>
      <x:c r="C25" s="12" t="str">
        <x:v>Consumer mobile app</x:v>
      </x:c>
      <x:c r="D25" s="12" t="str">
        <x:v>Google Play</x:v>
      </x:c>
      <x:c r="E25" s="12" t="str">
        <x:v>2026-02-16</x:v>
      </x:c>
      <x:c r="F25" s="12" t="str">
        <x:v>Kate Lila Wheeler</x:v>
      </x:c>
      <x:c r="G25" s="12"/>
      <x:c r="H25" s="12" t="str">
        <x:v>Negative</x:v>
      </x:c>
      <x:c r="I25" s="10" t="str">
        <x:v>Mobile deposit flow froze; reviewer tried reinstalling and had to visit an ATM.</x:v>
      </x:c>
      <x:c r="J25" s="10" t="str"/>
      <x:c r="K25" s="10" t="str">
        <x:v>Digital reliability;Deposit;Repeat effort</x:v>
      </x:c>
      <x:c r="L25" s="10" t="str">
        <x:v>Channel fallback and friction</x:v>
      </x:c>
      <x:c r="M25" s="10" t="str">
        <x:v>High</x:v>
      </x:c>
      <x:c r="N25" s="10" t="str">
        <x:v>https://play.google.com/store/apps/details?id=com.cambridgesavingsbank4902.production</x:v>
      </x:c>
      <x:c r="O25" s="10" t="str">
        <x:v>App product; not Harvard Square-specific.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40" hidden="0" customWidth="1"/>
    <x:col min="4" max="4" width="51" hidden="0" customWidth="1"/>
    <x:col min="5" max="5" width="56" hidden="0" customWidth="1"/>
    <x:col min="6" max="6" width="66" hidden="0" customWidth="1"/>
  </x:cols>
  <x:sheetData>
    <x:row r="1" ht="32" customHeight="1">
      <x:c r="A1" s="4" t="str">
        <x:v>Proposed CSB strength</x:v>
      </x:c>
      <x:c r="B1" s="4" t="str">
        <x:v>Review-backed evidence</x:v>
      </x:c>
      <x:c r="C1" s="4" t="str">
        <x:v>Harvard Square proximity</x:v>
      </x:c>
      <x:c r="D1" s="4" t="str">
        <x:v>Can we assert CSB &gt; HFCU?</x:v>
      </x:c>
      <x:c r="E1" s="4" t="str">
        <x:v>How to use in HFCU redesign</x:v>
      </x:c>
      <x:c r="F1" s="4" t="str">
        <x:v>Primary source URLs</x:v>
      </x:c>
    </x:row>
    <x:row r="2" ht="105" customHeight="1">
      <x:c r="A2" s="10" t="str">
        <x:v>Personal / attentive service</x:v>
      </x:c>
      <x:c r="B2" s="10" t="str">
        <x:v>Long-term positive account on 1374 Mass Ave listing; short positive testimonials there; multiple CSB-wide narratives</x:v>
      </x:c>
      <x:c r="C2" s="10" t="str">
        <x:v>Some Harvard Square listing evidence; many unlocated</x:v>
      </x:c>
      <x:c r="D2" s="10" t="str">
        <x:v>No. HFCU positive reviews also praise helpful individual employees.</x:v>
      </x:c>
      <x:c r="E2" s="10" t="str">
        <x:v>Maintain warmth; standardize service quality and give staff shared case context.</x:v>
      </x:c>
      <x:c r="F2" s="10" t="str">
        <x:v>https://www.loc8nearme.com/massachusetts/cambridge/cambridge-savings-bank/2588412/ ; https://weloans.com/store/cambridge-savings-bank-732338f7 ; https://www.bankgrader.com/cambridge-savings-bank/reviews</x:v>
      </x:c>
    </x:row>
    <x:row r="3" ht="105" customHeight="1">
      <x:c r="A3" s="10" t="str">
        <x:v>Follow-through and successful resolution</x:v>
      </x:c>
      <x:c r="B3" s="10" t="str">
        <x:v>Call-center director contacted reviewer; Harvard+Porter staff confirmed debit-card repair after hours; other stories about issue resolution.</x:v>
      </x:c>
      <x:c r="C3" s="10" t="str">
        <x:v>Multi-branch and institution-wide; no quantified Harvard Square case-resolution rate.</x:v>
      </x:c>
      <x:c r="D3" s="10" t="str">
        <x:v>No. Evidence of practice, not superior first-contact-resolution rate.</x:v>
      </x:c>
      <x:c r="E3" s="10" t="str">
        <x:v>Clear case ownership; callback commitment; post-resolution confirmation.</x:v>
      </x:c>
      <x:c r="F3" s="10" t="str">
        <x:v>https://www.loc8nearme.com/massachusetts/cambridge/cambridge-savings-bank/2588412/ ; https://www.bankgrader.com/cambridge-savings-bank/reviews ; https://wallethub.com/profile/cambridge-savings-bank-13001051i</x:v>
      </x:c>
    </x:row>
    <x:row r="4" ht="105" customHeight="1">
      <x:c r="A4" s="10" t="str">
        <x:v>Handling unusual or complex requests</x:v>
      </x:c>
      <x:c r="B4" s="10" t="str">
        <x:v>Harvard-listed reviewer reports accommodating a traveler; Inman reviewers describe manager handling unusual onboarding; CSB-wide document turnaround.</x:v>
      </x:c>
      <x:c r="C4" s="10" t="str">
        <x:v>Harvard-listed one short account; strong detailed examples from elsewhere.</x:v>
      </x:c>
      <x:c r="D4" s="10" t="str">
        <x:v>Not proven. Benchmark as examples of exception-handling.</x:v>
      </x:c>
      <x:c r="E4" s="10" t="str">
        <x:v>Escalation playbook; preserve officer time for exceptions; shared documents.</x:v>
      </x:c>
      <x:c r="F4" s="10" t="str">
        <x:v>https://weloans.com/store/cambridge-savings-bank-732338f7 ; https://reviews.birdeye.com/cambridge-savings-bank-157289966393158 ; https://www.bankgrader.com/cambridge-savings-bank/reviews</x:v>
      </x:c>
    </x:row>
    <x:row r="5" ht="105" customHeight="1">
      <x:c r="A5" s="10" t="str">
        <x:v>Extended video-assisted banking (ITM)</x:v>
      </x:c>
      <x:c r="B5" s="10" t="str">
        <x:v>Official branch page lists live video-banker access 8–6 weekdays and 8–3 Saturday.</x:v>
      </x:c>
      <x:c r="C5" s="10" t="str">
        <x:v>Confirmed for Harvard Square branch.</x:v>
      </x:c>
      <x:c r="D5" s="10" t="str">
        <x:v>Verified CSB facility/service offering; HFCU comparable ITM not established.</x:v>
      </x:c>
      <x:c r="E5" s="10" t="str">
        <x:v>Pilot remote specialist access with explicit time coverage.</x:v>
      </x:c>
      <x:c r="F5" s="10" t="str">
        <x:v>https://www.cambridgesavings.com/locations/cambridge-harvard-square-0</x:v>
      </x:c>
    </x:row>
    <x:row r="6" ht="105" customHeight="1">
      <x:c r="A6" s="10" t="str">
        <x:v>Shorter queues / faster service</x:v>
      </x:c>
      <x:c r="B6" s="10" t="str">
        <x:v>Single CSB-wide reviewer mentions no waiting, but other reviewer reports a Saturday wait.</x:v>
      </x:c>
      <x:c r="C6" s="10" t="str">
        <x:v>No comparable branch observation of queues.</x:v>
      </x:c>
      <x:c r="D6" s="10" t="str">
        <x:v>No. Cannot claim shorter waits or faster average service.</x:v>
      </x:c>
      <x:c r="E6" s="10" t="str">
        <x:v>Do matched direct queue and transaction timing observations.</x:v>
      </x:c>
      <x:c r="F6" s="10" t="str">
        <x:v>https://www.bankgrader.com/cambridge-savings-bank/reviews</x:v>
      </x:c>
    </x:row>
    <x:row r="7" ht="105" customHeight="1">
      <x:c r="A7" s="10" t="str">
        <x:v>Better digital banking</x:v>
      </x:c>
      <x:c r="B7" s="10" t="str">
        <x:v>Several CSB app reviewers describe broken deposits and failed support.</x:v>
      </x:c>
      <x:c r="C7" s="10" t="str">
        <x:v>Institution-wide app, not branch.</x:v>
      </x:c>
      <x:c r="D7" s="10" t="str">
        <x:v>No. HFCU app rates higher in published app-store results.</x:v>
      </x:c>
      <x:c r="E7" s="10" t="str">
        <x:v>Do not use CSB app as evidence of better digital UX.</x:v>
      </x:c>
      <x:c r="F7" s="10" t="str">
        <x:v>https://play.google.com/store/apps/details?id=com.cambridgesavingsbank4902.production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6" hidden="0" customWidth="1"/>
    <x:col min="3" max="3" width="84" hidden="0" customWidth="1"/>
  </x:cols>
  <x:sheetData>
    <x:row r="1" ht="30" customHeight="1">
      <x:c r="A1" s="3" t="str">
        <x:v>Coverage summary</x:v>
      </x:c>
      <x:c r="B1" s="3" t="str">
        <x:v>Value</x:v>
      </x:c>
      <x:c r="C1" s="3" t="str">
        <x:v>Interpretation</x:v>
      </x:c>
    </x:row>
    <x:row r="2" ht="34" customHeight="1">
      <x:c r="A2" s="10" t="str">
        <x:v>Accessible CSB narrative records</x:v>
      </x:c>
      <x:c r="B2" s="10" t="n">
        <x:f>COUNTA('CSB Review Evidence'!A2:A25)</x:f>
        <x:v>24</x:v>
      </x:c>
      <x:c r="C2" s="10" t="str">
        <x:v>24 individually paraphrased, accessible records; nonrandom sample.</x:v>
      </x:c>
    </x:row>
    <x:row r="3" ht="34" customHeight="1">
      <x:c r="A3" s="10" t="str">
        <x:v>Positive narratives</x:v>
      </x:c>
      <x:c r="B3" s="10" t="n">
        <x:f>COUNTIF('CSB Review Evidence'!H2:H25,"Positive")</x:f>
        <x:v>17</x:v>
      </x:c>
      <x:c r="C3" s="10" t="str">
        <x:v>Not a bankwide positive share; source selection favors prominent text.</x:v>
      </x:c>
    </x:row>
    <x:row r="4" ht="34" customHeight="1">
      <x:c r="A4" s="10" t="str">
        <x:v>Negative narratives</x:v>
      </x:c>
      <x:c r="B4" s="10" t="n">
        <x:f>COUNTIF('CSB Review Evidence'!H2:H25,"Negative")</x:f>
        <x:v>4</x:v>
      </x:c>
      <x:c r="C4" s="10" t="str">
        <x:v>Important counterexamples retained.</x:v>
      </x:c>
    </x:row>
    <x:row r="5" ht="34" customHeight="1">
      <x:c r="A5" s="10" t="str">
        <x:v>Mixed narratives</x:v>
      </x:c>
      <x:c r="B5" s="10" t="n">
        <x:f>COUNTIF('CSB Review Evidence'!H2:H25,"Mixed")</x:f>
        <x:v>2</x:v>
      </x:c>
      <x:c r="C5" s="10" t="str">
        <x:v>Partly favorable/partly unfavorable.</x:v>
      </x:c>
    </x:row>
    <x:row r="6" ht="34" customHeight="1">
      <x:c r="A6" s="10" t="str">
        <x:v>Harvard-listing rows</x:v>
      </x:c>
      <x:c r="B6" s="10" t="n">
        <x:f>COUNTIF('CSB Review Evidence'!B2:B25,"Harvard Square listing")+COUNTIF('CSB Review Evidence'!B2:B25,"Harvard Square listing; branch unconfirmed")</x:f>
        <x:v>4</x:v>
      </x:c>
      <x:c r="C6" s="10" t="str">
        <x:v>Location of service is not independently confirmed from every review.</x:v>
      </x:c>
    </x:row>
    <x:row r="7" ht="34" customHeight="1">
      <x:c r="A7" s="10" t="str">
        <x:v>Harvard &amp; Porter review</x:v>
      </x:c>
      <x:c r="B7" s="10" t="n">
        <x:f>COUNTIF('CSB Review Evidence'!B2:B25,"Multi-branch explicitly includes Harvard Square")</x:f>
        <x:v>1</x:v>
      </x:c>
      <x:c r="C7" s="10" t="str">
        <x:v>Cannot isolate which location resolved the case.</x:v>
      </x:c>
    </x:row>
    <x:row r="8" ht="34" customHeight="1">
      <x:c r="A8" s="10" t="str">
        <x:v>Other-branch identified rows</x:v>
      </x:c>
      <x:c r="B8" s="10" t="n">
        <x:f>COUNTIF('CSB Review Evidence'!B2:B25,"Other branch explicit")</x:f>
        <x:v>4</x:v>
      </x:c>
      <x:c r="C8" s="10" t="str">
        <x:v>Do NOT merge into Harvard Square rate.</x:v>
      </x:c>
    </x:row>
    <x:row r="9" ht="34" customHeight="1">
      <x:c r="A9" s="10" t="str">
        <x:v>CSB-wide branch unspecified rows</x:v>
      </x:c>
      <x:c r="B9" s="10" t="n">
        <x:f>COUNTIF('CSB Review Evidence'!B2:B25,"CSB-wide; branch unspecified")</x:f>
        <x:v>12</x:v>
      </x:c>
      <x:c r="C9" s="10" t="str">
        <x:v>Not evidence of Harvard Square staff specifically.</x:v>
      </x:c>
    </x:row>
    <x:row r="10" ht="34" customHeight="1">
      <x:c r="A10" s="10" t="str">
        <x:v>Digital channel rows</x:v>
      </x:c>
      <x:c r="B10" s="10" t="n">
        <x:f>COUNTIF('CSB Review Evidence'!B2:B25,"Digital channel; CSB-wide")</x:f>
        <x:v>2</x:v>
      </x:c>
      <x:c r="C10" s="10" t="str">
        <x:v>App review context; not teller experience.</x:v>
      </x:c>
    </x:row>
    <x:row r="11" ht="34" customHeight="1">
      <x:c r="A11" s="10" t="str">
        <x:v>HFCU Yelp original review records</x:v>
      </x:c>
      <x:c r="B11" s="10" t="n">
        <x:v>87</x:v>
      </x:c>
      <x:c r="C11" s="10" t="str">
        <x:v>Separate pre-existing HFCU corpus; broader collection frame.</x:v>
      </x:c>
    </x:row>
    <x:row r="12" ht="34" customHeight="1">
      <x:c r="A12" s="10" t="str">
        <x:v>HFCU scored negative (1–2 star)</x:v>
      </x:c>
      <x:c r="B12" s="10" t="n">
        <x:v>39</x:v>
      </x:c>
      <x:c r="C12" s="10" t="str">
        <x:v>Separate HFCU dataset; branch-relatedness not guaranteed.</x:v>
      </x:c>
    </x:row>
    <x:row r="15">
      <x:c r="A15" s="15" t="str">
        <x:v>Positive code (not mutually exclusive)</x:v>
      </x:c>
      <x:c r="B15" s="15" t="str">
        <x:v>Count</x:v>
      </x:c>
      <x:c r="C15" s="15" t="str">
        <x:v>Note</x:v>
      </x:c>
    </x:row>
    <x:row r="16" ht="25" customHeight="1">
      <x:c r="A16" t="str">
        <x:v>Personal attention</x:v>
      </x:c>
      <x:c r="B16" t="n">
        <x:f>SUM('CSB Review Evidence'!P2:P25)</x:f>
        <x:v>15</x:v>
      </x:c>
      <x:c r="C16" t="str">
        <x:v>Accessible narratives only; code may co-occur.</x:v>
      </x:c>
    </x:row>
    <x:row r="17" ht="25" customHeight="1">
      <x:c r="A17" t="str">
        <x:v>Resolution</x:v>
      </x:c>
      <x:c r="B17" t="n">
        <x:f>SUM('CSB Review Evidence'!Q2:Q25)</x:f>
        <x:v>8</x:v>
      </x:c>
      <x:c r="C17" t="str">
        <x:v>Accessible narratives only; code may co-occur.</x:v>
      </x:c>
    </x:row>
    <x:row r="18" ht="25" customHeight="1">
      <x:c r="A18" t="str">
        <x:v>Follow-through</x:v>
      </x:c>
      <x:c r="B18" t="n">
        <x:f>SUM('CSB Review Evidence'!R2:R25)</x:f>
        <x:v>4</x:v>
      </x:c>
      <x:c r="C18" t="str">
        <x:v>Accessible narratives only; code may co-occur.</x:v>
      </x:c>
    </x:row>
    <x:row r="19" ht="25" customHeight="1">
      <x:c r="A19" t="str">
        <x:v>Manager escalation</x:v>
      </x:c>
      <x:c r="B19" t="n">
        <x:f>SUM('CSB Review Evidence'!S2:S25)</x:f>
        <x:v>3</x:v>
      </x:c>
      <x:c r="C19" t="str">
        <x:v>Accessible narratives only; code may co-occur.</x:v>
      </x:c>
    </x:row>
    <x:row r="20" ht="25" customHeight="1">
      <x:c r="A20" t="str">
        <x:v>Relationship trust</x:v>
      </x:c>
      <x:c r="B20" t="n">
        <x:f>SUM('CSB Review Evidence'!T2:T25)</x:f>
        <x:v>4</x:v>
      </x:c>
      <x:c r="C20" t="str">
        <x:v>Accessible narratives only; code may co-occur.</x:v>
      </x:c>
    </x:row>
    <x:row r="21" ht="25" customHeight="1">
      <x:c r="A21" t="str">
        <x:v>Special request</x:v>
      </x:c>
      <x:c r="B21" t="n">
        <x:f>SUM('CSB Review Evidence'!U2:U25)</x:f>
        <x:v>3</x:v>
      </x:c>
      <x:c r="C21" t="str">
        <x:v>Accessible narratives only; code may co-occur.</x:v>
      </x:c>
    </x:row>
    <x:row r="22" ht="25" customHeight="1">
      <x:c r="A22" t="str">
        <x:v>Communication</x:v>
      </x:c>
      <x:c r="B22" t="n">
        <x:f>SUM('CSB Review Evidence'!V2:V25)</x:f>
        <x:v>3</x:v>
      </x:c>
      <x:c r="C22" t="str">
        <x:v>Accessible narratives only; code may co-occur.</x:v>
      </x:c>
    </x:row>
    <x:row r="23" ht="25" customHeight="1">
      <x:c r="A23" t="str">
        <x:v>Timely response</x:v>
      </x:c>
      <x:c r="B23" t="n">
        <x:f>SUM('CSB Review Evidence'!W2:W25)</x:f>
        <x:v>2</x:v>
      </x:c>
      <x:c r="C23" t="str">
        <x:v>Accessible narratives only; code may co-occur.</x:v>
      </x:c>
    </x:row>
    <x:row r="24" ht="25" customHeight="1">
      <x:c r="A24" t="str">
        <x:v>Complex onboarding</x:v>
      </x:c>
      <x:c r="B24" t="n">
        <x:f>SUM('CSB Review Evidence'!X2:X25)</x:f>
        <x:v>3</x:v>
      </x:c>
      <x:c r="C24" t="str">
        <x:v>Accessible narratives only; code may co-occur.</x:v>
      </x:c>
    </x:row>
    <x:row r="25" ht="25" customHeight="1">
      <x:c r="A25" t="str">
        <x:v>Short wait</x:v>
      </x:c>
      <x:c r="B25" t="n">
        <x:f>SUM('CSB Review Evidence'!Y2:Y25)</x:f>
        <x:v>1</x:v>
      </x:c>
      <x:c r="C25" t="str">
        <x:v>Accessible narratives only; code may co-occur.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3" hidden="0" customWidth="1"/>
    <x:col min="3" max="3" width="20" hidden="0" customWidth="1"/>
    <x:col min="4" max="4" width="24" hidden="0" customWidth="1"/>
    <x:col min="5" max="5" width="78" hidden="0" customWidth="1"/>
    <x:col min="6" max="6" width="70" hidden="0" customWidth="1"/>
  </x:cols>
  <x:sheetData>
    <x:row r="1">
      <x:c r="A1" s="3" t="str">
        <x:v>Source</x:v>
      </x:c>
      <x:c r="B1" s="3" t="str">
        <x:v>Population</x:v>
      </x:c>
      <x:c r="C1" s="3" t="str">
        <x:v>Visible / cited volume</x:v>
      </x:c>
      <x:c r="D1" s="3" t="str">
        <x:v>Rows in ledger</x:v>
      </x:c>
      <x:c r="E1" s="3" t="str">
        <x:v>Coverage limitation</x:v>
      </x:c>
      <x:c r="F1" s="3" t="str">
        <x:v>Source URL</x:v>
      </x:c>
    </x:row>
    <x:row r="2" ht="57" customHeight="1">
      <x:c r="A2" s="10" t="str">
        <x:v>Loc8NearMe Harvard Sq</x:v>
      </x:c>
      <x:c r="B2" s="10" t="str">
        <x:v>Branch listing syndication</x:v>
      </x:c>
      <x:c r="C2" s="10" t="str">
        <x:v>3 visible</x:v>
      </x:c>
      <x:c r="D2" s="10" t="str">
        <x:v>2 Harvard-listing + 1 explicitly Melrose</x:v>
      </x:c>
      <x:c r="E2" s="10" t="str">
        <x:v>Only top visible entries accessible; more comments link unavailable</x:v>
      </x:c>
      <x:c r="F2" s="10" t="str">
        <x:v>https://www.loc8nearme.com/massachusetts/cambridge/cambridge-savings-bank/2588412/</x:v>
      </x:c>
    </x:row>
    <x:row r="3" ht="57" customHeight="1">
      <x:c r="A3" s="10" t="str">
        <x:v>WeLoans Harvard Sq</x:v>
      </x:c>
      <x:c r="B3" s="10" t="str">
        <x:v>Branch-listing review mirror</x:v>
      </x:c>
      <x:c r="C3" s="10" t="str">
        <x:v>3 written</x:v>
      </x:c>
      <x:c r="D3" s="10" t="str">
        <x:v>3</x:v>
      </x:c>
      <x:c r="E3" s="10" t="str">
        <x:v>6 ratings claimed; only 3 narratives visible; not primary review host</x:v>
      </x:c>
      <x:c r="F3" s="10" t="str">
        <x:v>https://weloans.com/store/cambridge-savings-bank-732338f7</x:v>
      </x:c>
    </x:row>
    <x:row r="4" ht="57" customHeight="1">
      <x:c r="A4" s="10" t="str">
        <x:v>BankGrader</x:v>
      </x:c>
      <x:c r="B4" s="10" t="str">
        <x:v>CSB institution-wide republisher</x:v>
      </x:c>
      <x:c r="C4" s="10" t="str">
        <x:v>12</x:v>
      </x:c>
      <x:c r="D4" s="10" t="str">
        <x:v>12</x:v>
      </x:c>
      <x:c r="E4" s="10" t="str">
        <x:v>Common display date 2024-03-09; original review dates/branches uncertain</x:v>
      </x:c>
      <x:c r="F4" s="10" t="str">
        <x:v>https://www.bankgrader.com/cambridge-savings-bank/reviews</x:v>
      </x:c>
    </x:row>
    <x:row r="5" ht="57" customHeight="1">
      <x:c r="A5" s="10" t="str">
        <x:v>WalletHub</x:v>
      </x:c>
      <x:c r="B5" s="10" t="str">
        <x:v>CSB institution-wide rating/review</x:v>
      </x:c>
      <x:c r="C5" s="10" t="str">
        <x:v>1 full narrative</x:v>
      </x:c>
      <x:c r="D5" s="10" t="str">
        <x:v>1</x:v>
      </x:c>
      <x:c r="E5" s="10" t="str">
        <x:v>29 aggregate ratings NOT 29 written review narratives</x:v>
      </x:c>
      <x:c r="F5" s="10" t="str">
        <x:v>https://wallethub.com/profile/cambridge-savings-bank-13001051i</x:v>
      </x:c>
    </x:row>
    <x:row r="6" ht="57" customHeight="1">
      <x:c r="A6" s="10" t="str">
        <x:v>Birdeye Inman</x:v>
      </x:c>
      <x:c r="B6" s="10" t="str">
        <x:v>Other CSB branch / Google syndicated</x:v>
      </x:c>
      <x:c r="C6" s="10" t="str">
        <x:v>1 used</x:v>
      </x:c>
      <x:c r="D6" s="10" t="str">
        <x:v>1</x:v>
      </x:c>
      <x:c r="E6" s="10" t="str">
        <x:v>Explicitly Inman Square branch</x:v>
      </x:c>
      <x:c r="F6" s="10" t="str">
        <x:v>https://reviews.birdeye.com/cambridge-savings-bank-157289966393158</x:v>
      </x:c>
    </x:row>
    <x:row r="7" ht="57" customHeight="1">
      <x:c r="A7" s="10" t="str">
        <x:v>Loc8NearMe Central</x:v>
      </x:c>
      <x:c r="B7" s="10" t="str">
        <x:v>Other CSB branch / Google syndicated</x:v>
      </x:c>
      <x:c r="C7" s="10" t="str">
        <x:v>2 used</x:v>
      </x:c>
      <x:c r="D7" s="10" t="str">
        <x:v>2</x:v>
      </x:c>
      <x:c r="E7" s="10" t="str">
        <x:v>Central Square only; one repeated entry excluded</x:v>
      </x:c>
      <x:c r="F7" s="10" t="str">
        <x:v>https://www.loc8nearme.com/massachusetts/cambridge/cambridge-savings-bank/2588416/</x:v>
      </x:c>
    </x:row>
    <x:row r="8" ht="57" customHeight="1">
      <x:c r="A8" s="10" t="str">
        <x:v>Google Play CSB consumer app</x:v>
      </x:c>
      <x:c r="B8" s="10" t="str">
        <x:v>Digital product review</x:v>
      </x:c>
      <x:c r="C8" s="10" t="str">
        <x:v>2 sampled</x:v>
      </x:c>
      <x:c r="D8" s="10" t="str">
        <x:v>2</x:v>
      </x:c>
      <x:c r="E8" s="10" t="str">
        <x:v>Only concrete examples included; not full accessible app corpus</x:v>
      </x:c>
      <x:c r="F8" s="10" t="str">
        <x:v>https://play.google.com/store/apps/details?id=com.cambridgesavingsbank4902.production</x:v>
      </x:c>
    </x:row>
    <x:row r="9" ht="57" customHeight="1">
      <x:c r="A9" s="10" t="str">
        <x:v>Official CSB Harvard Square</x:v>
      </x:c>
      <x:c r="B9" s="10" t="str">
        <x:v>Bank-documented services</x:v>
      </x:c>
      <x:c r="C9" s="10" t="str">
        <x:v>N/A</x:v>
      </x:c>
      <x:c r="D9" s="10" t="str">
        <x:v>Not review data</x:v>
      </x:c>
      <x:c r="E9" s="10" t="str">
        <x:v>Confirmed ITM schedule, collaboration room, ATM; not independent customer endorsement</x:v>
      </x:c>
      <x:c r="F9" s="10" t="str">
        <x:v>https://www.cambridgesavings.com/locations/cambridge-harvard-square-0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3" t="str">
        <x:v>Methodological control</x:v>
      </x:c>
      <x:c r="B1" s="3" t="str">
        <x:v>Application</x:v>
      </x:c>
    </x:row>
    <x:row r="2" ht="45" customHeight="1">
      <x:c r="A2" s="10" t="str">
        <x:v>Objective</x:v>
      </x:c>
      <x:c r="B2" s="10" t="str">
        <x:v>Document concrete review-based examples of CSB service practices relevant to Harvard Square HFCU reengineering; not establish causal superiority.</x:v>
      </x:c>
    </x:row>
    <x:row r="3" ht="45" customHeight="1">
      <x:c r="A3" s="10" t="str">
        <x:v>Frame</x:v>
      </x:c>
      <x:c r="B3" s="10" t="str">
        <x:v>Publicly accessible written narratives on named branch listings, syndicated mirrors, institution-wide review sites, and app-store reviews.</x:v>
      </x:c>
    </x:row>
    <x:row r="4" ht="45" customHeight="1">
      <x:c r="A4" s="10" t="str">
        <x:v>Review-count caution</x:v>
      </x:c>
      <x:c r="B4" s="10" t="str">
        <x:v>Listing aggregates (e.g., 6, 21, 29) may include rating-only or inaccessible records. Counts in this workbook are directly visible readable narratives.</x:v>
      </x:c>
    </x:row>
    <x:row r="5" ht="45" customHeight="1">
      <x:c r="A5" s="10" t="str">
        <x:v>Branch attribution</x:v>
      </x:c>
      <x:c r="B5" s="10" t="str">
        <x:v>Distinguish Harvard Square listing from explicit Harvard Square experience; institution-wide call-center and other-branch stories are separate.</x:v>
      </x:c>
    </x:row>
    <x:row r="6" ht="45" customHeight="1">
      <x:c r="A6" s="10" t="str">
        <x:v>Star treatment</x:v>
      </x:c>
      <x:c r="B6" s="10" t="str">
        <x:v>Only record individual stars when shown on source; blank otherwise. No inference from positive/negative language.</x:v>
      </x:c>
    </x:row>
    <x:row r="7" ht="45" customHeight="1">
      <x:c r="A7" s="10" t="str">
        <x:v>Date treatment</x:v>
      </x:c>
      <x:c r="B7" s="10" t="str">
        <x:v>Use actual source-published dates where visible. BankGrader shows March 9 2024 for all entries; may be republishing/import date, not original date.</x:v>
      </x:c>
    </x:row>
    <x:row r="8" ht="45" customHeight="1">
      <x:c r="A8" s="10" t="str">
        <x:v>Text treatment</x:v>
      </x:c>
      <x:c r="B8" s="10" t="str">
        <x:v>Short factual paraphrases preserve the event without copying long review passages. Keep review source URLs for audit.</x:v>
      </x:c>
    </x:row>
    <x:row r="9" ht="45" customHeight="1">
      <x:c r="A9" s="10" t="str">
        <x:v>Multiple codes</x:v>
      </x:c>
      <x:c r="B9" s="10" t="str">
        <x:v>One narrative may mention multiple strengths/failures. Counts must not be interpreted as independent customers across platforms.</x:v>
      </x:c>
    </x:row>
    <x:row r="10" ht="45" customHeight="1">
      <x:c r="A10" s="10" t="str">
        <x:v>Provenance</x:v>
      </x:c>
      <x:c r="B10" s="10" t="str">
        <x:v>Some mirrors reproduce Google/Yelp data. No confirmed cross-site identity matching; potential duplicate or nonindependent syndication remains.</x:v>
      </x:c>
    </x:row>
    <x:row r="11" ht="45" customHeight="1">
      <x:c r="A11" s="10" t="str">
        <x:v>Selection bias</x:v>
      </x:c>
      <x:c r="B11" s="10" t="str">
        <x:v>Review writers self-select; publicly visible snippets self-select again; platforms and timeframes not harmonized with HFCU.</x:v>
      </x:c>
    </x:row>
    <x:row r="12" ht="45" customHeight="1">
      <x:c r="A12" s="10" t="str">
        <x:v>Comparative claims</x:v>
      </x:c>
      <x:c r="B12" s="10" t="str">
        <x:v>HFCU negative reviews vs CSB positive testimonials are not matched distributions. Do not conclude CSB has higher FCR or lower wait.</x:v>
      </x:c>
    </x:row>
    <x:row r="13" ht="45" customHeight="1">
      <x:c r="A13" s="10" t="str">
        <x:v>Recommended next step</x:v>
      </x:c>
      <x:c r="B13" s="10" t="str">
        <x:v>Acquire branch-specific CSB Google/Yelp written corpus directly, preserve both positive and negative, same taxonomy as HFCU, dedupe, compare matched period.</x:v>
      </x:c>
    </x:row>
  </x:sheetData>
  <x:pageMargins left="0.7" right="0.7" top="0.75" bottom="0.75" header="0.3" footer="0.3"/>
</x:worksheet>
</file>